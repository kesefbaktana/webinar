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התחלה" sheetId="1" state="visible" r:id="rId1"/>
    <sheet xmlns:r="http://schemas.openxmlformats.org/officeDocument/2006/relationships" name="שלושת הצעדים" sheetId="2" state="visible" r:id="rId2"/>
    <sheet xmlns:r="http://schemas.openxmlformats.org/officeDocument/2006/relationships" name="1 הנתונים שלכם" sheetId="3" state="visible" r:id="rId3"/>
    <sheet xmlns:r="http://schemas.openxmlformats.org/officeDocument/2006/relationships" name="2 ההחזר הנוח" sheetId="4" state="visible" r:id="rId4"/>
    <sheet xmlns:r="http://schemas.openxmlformats.org/officeDocument/2006/relationships" name="3 כמה דירה" sheetId="5" state="visible" r:id="rId5"/>
    <sheet xmlns:r="http://schemas.openxmlformats.org/officeDocument/2006/relationships" name="4 בדיקת דירה" sheetId="6" state="visible" r:id="rId6"/>
    <sheet xmlns:r="http://schemas.openxmlformats.org/officeDocument/2006/relationships" name="5 סגירת חודש" sheetId="7" state="visible" r:id="rId7"/>
    <sheet xmlns:r="http://schemas.openxmlformats.org/officeDocument/2006/relationships" name="הנחות ומקורות"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 ₪;-#,##0 ₪;&quot;-&quot;"/>
  </numFmts>
  <fonts count="11">
    <font>
      <name val="Calibri"/>
      <family val="2"/>
      <color theme="1"/>
      <sz val="11"/>
      <scheme val="minor"/>
    </font>
    <font>
      <name val="Arial"/>
      <b val="1"/>
      <color rgb="00173B2D"/>
      <sz val="16"/>
    </font>
    <font>
      <name val="Arial"/>
      <color rgb="00555555"/>
      <sz val="9"/>
    </font>
    <font>
      <name val="Arial"/>
      <b val="1"/>
      <color rgb="00FFFFFF"/>
      <sz val="11"/>
    </font>
    <font>
      <name val="Arial"/>
      <color rgb="00173B2D"/>
      <sz val="11"/>
    </font>
    <font>
      <name val="Arial"/>
      <b val="1"/>
      <color rgb="00173B2D"/>
      <sz val="11"/>
    </font>
    <font>
      <name val="Arial"/>
      <b val="1"/>
      <color rgb="00173B2D"/>
      <sz val="12"/>
    </font>
    <font>
      <name val="Arial"/>
      <i val="1"/>
      <color rgb="006B6B6B"/>
      <sz val="11"/>
    </font>
    <font>
      <name val="Arial"/>
      <b val="1"/>
      <color rgb="00173B2D"/>
      <sz val="22"/>
    </font>
    <font>
      <name val="Arial"/>
      <color rgb="0024503D"/>
      <sz val="11"/>
    </font>
    <font>
      <name val="Arial"/>
      <b val="1"/>
      <color rgb="0024503D"/>
      <sz val="10"/>
    </font>
  </fonts>
  <fills count="7">
    <fill>
      <patternFill/>
    </fill>
    <fill>
      <patternFill patternType="gray125"/>
    </fill>
    <fill>
      <patternFill patternType="solid">
        <fgColor rgb="00173B2D"/>
      </patternFill>
    </fill>
    <fill>
      <patternFill patternType="solid">
        <fgColor rgb="00FFF2CC"/>
      </patternFill>
    </fill>
    <fill>
      <patternFill patternType="solid">
        <fgColor rgb="00DCE4D8"/>
      </patternFill>
    </fill>
    <fill>
      <patternFill patternType="solid">
        <fgColor rgb="00EEEEEE"/>
      </patternFill>
    </fill>
    <fill>
      <patternFill patternType="solid">
        <fgColor rgb="00F1F5EF"/>
      </patternFill>
    </fill>
  </fills>
  <borders count="6">
    <border>
      <left/>
      <right/>
      <top/>
      <bottom/>
      <diagonal/>
    </border>
    <border>
      <left style="thin">
        <color rgb="00BFD0C0"/>
      </left>
      <right style="thin">
        <color rgb="00BFD0C0"/>
      </right>
      <top style="thin">
        <color rgb="00BFD0C0"/>
      </top>
      <bottom style="thin">
        <color rgb="00BFD0C0"/>
      </bottom>
    </border>
    <border>
      <left/>
      <right/>
      <top style="thin">
        <color rgb="00BFD0C0"/>
      </top>
      <bottom/>
      <diagonal/>
    </border>
    <border>
      <left/>
      <right style="thin">
        <color rgb="00BFD0C0"/>
      </right>
      <top style="thin">
        <color rgb="00BFD0C0"/>
      </top>
      <bottom/>
      <diagonal/>
    </border>
    <border>
      <left/>
      <right/>
      <top style="thin">
        <color rgb="00BFD0C0"/>
      </top>
      <bottom style="thin">
        <color rgb="00BFD0C0"/>
      </bottom>
      <diagonal/>
    </border>
    <border>
      <left/>
      <right style="thin">
        <color rgb="00BFD0C0"/>
      </right>
      <top style="thin">
        <color rgb="00BFD0C0"/>
      </top>
      <bottom style="thin">
        <color rgb="00BFD0C0"/>
      </bottom>
      <diagonal/>
    </border>
  </borders>
  <cellStyleXfs count="1">
    <xf numFmtId="0" fontId="0" fillId="0" borderId="0"/>
  </cellStyleXfs>
  <cellXfs count="34">
    <xf numFmtId="0" fontId="0" fillId="0" borderId="0" pivotButton="0" quotePrefix="0" xfId="0"/>
    <xf numFmtId="0" fontId="8" fillId="6" borderId="0" applyAlignment="1" pivotButton="0" quotePrefix="0" xfId="0">
      <alignment horizontal="right" readingOrder="2"/>
    </xf>
    <xf numFmtId="0" fontId="0" fillId="6" borderId="0" pivotButton="0" quotePrefix="0" xfId="0"/>
    <xf numFmtId="0" fontId="9" fillId="6" borderId="0" applyAlignment="1" pivotButton="0" quotePrefix="0" xfId="0">
      <alignment horizontal="right" readingOrder="2"/>
    </xf>
    <xf numFmtId="0" fontId="10" fillId="6" borderId="0" applyAlignment="1" pivotButton="0" quotePrefix="0" xfId="0">
      <alignment horizontal="right" readingOrder="2"/>
    </xf>
    <xf numFmtId="0" fontId="4" fillId="6" borderId="0" applyAlignment="1" pivotButton="0" quotePrefix="0" xfId="0">
      <alignment horizontal="right" vertical="top" wrapText="1" readingOrder="2"/>
    </xf>
    <xf numFmtId="0" fontId="1" fillId="6" borderId="0" pivotButton="0" quotePrefix="0" xfId="0"/>
    <xf numFmtId="0" fontId="2" fillId="6" borderId="0" applyAlignment="1" pivotButton="0" quotePrefix="0" xfId="0">
      <alignment horizontal="right" vertical="top" wrapText="1" readingOrder="2"/>
    </xf>
    <xf numFmtId="0" fontId="1" fillId="0" borderId="0" applyAlignment="1" pivotButton="0" quotePrefix="0" xfId="0">
      <alignment horizontal="right" readingOrder="2"/>
    </xf>
    <xf numFmtId="0" fontId="2" fillId="0" borderId="0" applyAlignment="1" pivotButton="0" quotePrefix="0" xfId="0">
      <alignment horizontal="right" readingOrder="2"/>
    </xf>
    <xf numFmtId="0" fontId="3" fillId="2" borderId="1" applyAlignment="1" pivotButton="0" quotePrefix="0" xfId="0">
      <alignment horizontal="center" vertical="center" wrapText="1" readingOrder="2"/>
    </xf>
    <xf numFmtId="0" fontId="4" fillId="0" borderId="1" applyAlignment="1" pivotButton="0" quotePrefix="0" xfId="0">
      <alignment horizontal="right" vertical="center" wrapText="1" readingOrder="2"/>
    </xf>
    <xf numFmtId="165" fontId="5" fillId="3" borderId="1" applyAlignment="1" applyProtection="1" pivotButton="0" quotePrefix="0" xfId="0">
      <alignment horizontal="center" vertical="center" wrapText="1" readingOrder="2"/>
      <protection locked="0" hidden="0"/>
    </xf>
    <xf numFmtId="165" fontId="5" fillId="0" borderId="1" applyAlignment="1" pivotButton="0" quotePrefix="0" xfId="0">
      <alignment horizontal="center" vertical="center" wrapText="1" readingOrder="2"/>
    </xf>
    <xf numFmtId="0" fontId="2" fillId="0" borderId="0" applyAlignment="1" pivotButton="0" quotePrefix="0" xfId="0">
      <alignment horizontal="right" vertical="center" wrapText="1" readingOrder="2"/>
    </xf>
    <xf numFmtId="0" fontId="6" fillId="4" borderId="1" applyAlignment="1" pivotButton="0" quotePrefix="0" xfId="0">
      <alignment horizontal="right" vertical="center" wrapText="1" readingOrder="2"/>
    </xf>
    <xf numFmtId="165" fontId="6" fillId="4" borderId="1" applyAlignment="1" pivotButton="0" quotePrefix="0" xfId="0">
      <alignment horizontal="center" vertical="center" wrapText="1" readingOrder="2"/>
    </xf>
    <xf numFmtId="0" fontId="6" fillId="4" borderId="1" applyAlignment="1" pivotButton="0" quotePrefix="0" xfId="0">
      <alignment horizontal="center" vertical="center" wrapText="1" readingOrder="2"/>
    </xf>
    <xf numFmtId="0" fontId="0" fillId="0" borderId="4" pivotButton="0" quotePrefix="0" xfId="0"/>
    <xf numFmtId="0" fontId="0" fillId="0" borderId="5" pivotButton="0" quotePrefix="0" xfId="0"/>
    <xf numFmtId="0" fontId="4" fillId="0" borderId="0" applyAlignment="1" pivotButton="0" quotePrefix="0" xfId="0">
      <alignment horizontal="right" vertical="top" wrapText="1" readingOrder="2"/>
    </xf>
    <xf numFmtId="165" fontId="7" fillId="5" borderId="1" applyAlignment="1" pivotButton="0" quotePrefix="0" xfId="0">
      <alignment horizontal="center" vertical="center" wrapText="1" readingOrder="2"/>
    </xf>
    <xf numFmtId="1" fontId="5" fillId="3" borderId="1" applyAlignment="1" applyProtection="1" pivotButton="0" quotePrefix="0" xfId="0">
      <alignment horizontal="center" vertical="center" wrapText="1" readingOrder="2"/>
      <protection locked="0" hidden="0"/>
    </xf>
    <xf numFmtId="1" fontId="7" fillId="5" borderId="1" applyAlignment="1" pivotButton="0" quotePrefix="0" xfId="0">
      <alignment horizontal="center" vertical="center" wrapText="1" readingOrder="2"/>
    </xf>
    <xf numFmtId="0" fontId="5" fillId="0" borderId="0" pivotButton="0" quotePrefix="0" xfId="0"/>
    <xf numFmtId="164" fontId="5" fillId="3" borderId="1" applyAlignment="1" applyProtection="1" pivotButton="0" quotePrefix="0" xfId="0">
      <alignment horizontal="center" vertical="center" wrapText="1" readingOrder="2"/>
      <protection locked="0" hidden="0"/>
    </xf>
    <xf numFmtId="164" fontId="7" fillId="5" borderId="1" applyAlignment="1" pivotButton="0" quotePrefix="0" xfId="0">
      <alignment horizontal="center" vertical="center" wrapText="1" readingOrder="2"/>
    </xf>
    <xf numFmtId="0" fontId="5" fillId="0" borderId="1" applyAlignment="1" pivotButton="0" quotePrefix="0" xfId="0">
      <alignment horizontal="center" vertical="center" wrapText="1" readingOrder="2"/>
    </xf>
    <xf numFmtId="0" fontId="7" fillId="5" borderId="1" applyAlignment="1" pivotButton="0" quotePrefix="0" xfId="0">
      <alignment horizontal="center" vertical="center" wrapText="1" readingOrder="2"/>
    </xf>
    <xf numFmtId="164" fontId="5" fillId="0" borderId="1" applyAlignment="1" pivotButton="0" quotePrefix="0" xfId="0">
      <alignment horizontal="center" vertical="center" wrapText="1" readingOrder="2"/>
    </xf>
    <xf numFmtId="0" fontId="2" fillId="0" borderId="0" pivotButton="0" quotePrefix="0" xfId="0"/>
    <xf numFmtId="1" fontId="5" fillId="0" borderId="1" applyAlignment="1" pivotButton="0" quotePrefix="0" xfId="0">
      <alignment horizontal="center" vertical="center" wrapText="1" readingOrder="2"/>
    </xf>
    <xf numFmtId="0" fontId="3" fillId="2" borderId="0" applyAlignment="1" pivotButton="0" quotePrefix="0" xfId="0">
      <alignment horizontal="center" vertical="center" wrapText="1" readingOrder="2"/>
    </xf>
    <xf numFmtId="0" fontId="5" fillId="4" borderId="1" applyAlignment="1" pivotButton="0" quotePrefix="0" xfId="0">
      <alignment horizontal="center"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9"/>
  <sheetViews>
    <sheetView showGridLines="0" rightToLeft="1" workbookViewId="0">
      <selection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כמה החזר נוח לנו?</t>
        </is>
      </c>
      <c r="B1" s="2" t="n"/>
      <c r="C1" s="2" t="n"/>
      <c r="D1" s="2" t="n"/>
    </row>
    <row r="2">
      <c r="A2" s="3" t="inlineStr">
        <is>
          <t>מחשבון לזוגות לפני דירה ראשונה · מאלישיב, איש כספים בתאגיד</t>
        </is>
      </c>
      <c r="B2" s="2" t="n"/>
      <c r="C2" s="2" t="n"/>
      <c r="D2" s="2" t="n"/>
    </row>
    <row r="3">
      <c r="A3" s="4" t="inlineStr">
        <is>
          <t>להמחשה בלבד. לא ייעוץ משכנתאות, לא ייעוץ פיננסי ולא ייעוץ מס. הכי נוח במחשב או בגוגל שיטס.</t>
        </is>
      </c>
      <c r="B3" s="2" t="n"/>
      <c r="C3" s="2" t="n"/>
      <c r="D3" s="2" t="n"/>
    </row>
    <row r="4" ht="30" customHeight="1">
      <c r="A4" s="5" t="inlineStr">
        <is>
          <t>הבנק בודק כמה תוכלו להחזיר. המחשבון הזה בודק כמה יהיה לכם נוח להחזיר, ומה זה אומר על מחיר הדירה.</t>
        </is>
      </c>
    </row>
    <row r="5" ht="30" customHeight="1">
      <c r="A5" s="5" t="inlineStr"/>
    </row>
    <row r="6" ht="30" customHeight="1">
      <c r="A6" s="5" t="inlineStr">
        <is>
          <t>איך משתמשים (20 דקות, שניכם, עם דפי החשבון של 3 החודשים האחרונים):</t>
        </is>
      </c>
    </row>
    <row r="7" ht="30" customHeight="1">
      <c r="A7" s="5" t="inlineStr">
        <is>
          <t>מתחילים בלשונית שלושת הצעדים: 3 חודשים אחורה, הקופה השנתית, וקודם לעצמכם. מה שממלאים שם עובר לבד ללשונית 1.</t>
        </is>
      </c>
    </row>
    <row r="8" ht="30" customHeight="1">
      <c r="A8" s="5" t="inlineStr">
        <is>
          <t>שלב א' - לשונית הנתונים שלכם: ממלאים רק את התאים הצהובים, בעמודה שלכם.</t>
        </is>
      </c>
    </row>
    <row r="9" ht="30" customHeight="1">
      <c r="A9" s="5" t="inlineStr">
        <is>
          <t>שלב ב' - לשונית ההחזר הנוח: 3 המספרים - ★1 כמה נשאר בסוף חודש, ★2 כמה נשאר בצד אחרי הקנייה, ★3 מבחן החודש הרע - וההחזר הנוח לכם.</t>
        </is>
      </c>
    </row>
    <row r="10" ht="30" customHeight="1">
      <c r="A10" s="5" t="inlineStr">
        <is>
          <t>שלב ג' - לשונית כמה דירה: מחיר להמחשה, ומה מגביל אותו.</t>
        </is>
      </c>
    </row>
    <row r="11" ht="30" customHeight="1">
      <c r="A11" s="5" t="inlineStr">
        <is>
          <t>שלב ד' - לשונית בדיקת דירה: מכניסים מחיר של דירה שראיתם, ורואים אם היא בתוך הגבולות שלכם.</t>
        </is>
      </c>
    </row>
    <row r="12" ht="30" customHeight="1">
      <c r="A12" s="5" t="inlineStr">
        <is>
          <t>שלב ה' - לשונית סגירת חודש: 3 חודשים ברצף של תכננו, קרה ופער, ומה עושים לפני הבנק.</t>
        </is>
      </c>
    </row>
    <row r="13" ht="30" customHeight="1">
      <c r="A13" s="5" t="inlineStr"/>
    </row>
    <row r="14" ht="30" customHeight="1">
      <c r="A14" s="5" t="inlineStr">
        <is>
          <t>צהוב = ממלאים. אפור = דוגמה להמחשה, לא המלצה. הנוסחאות נעולות כדי שלא יימחקו בטעות.</t>
        </is>
      </c>
    </row>
    <row r="15" ht="30" customHeight="1">
      <c r="A15" s="5" t="inlineStr"/>
    </row>
    <row r="16" ht="30" customHeight="1">
      <c r="A16" s="5" t="inlineStr">
        <is>
          <t>מספר אחד לא ברור? כתבו לי הודעה באינסטגרם (@kesefbaktana), ואגיד לכם איך מחשבים אותו.</t>
        </is>
      </c>
    </row>
    <row r="17" ht="30" customHeight="1">
      <c r="A17" s="5" t="inlineStr">
        <is>
          <t>את המספרים שלכם אל תשלחו לי בהודעה. הם נשארים בעותק שלכם, ואני לא רואה אותם.</t>
        </is>
      </c>
    </row>
    <row r="18" ht="30" customHeight="1">
      <c r="A18" s="2" t="n"/>
      <c r="B18" s="2" t="n"/>
      <c r="C18" s="2" t="n"/>
      <c r="D18" s="2" t="n"/>
    </row>
    <row r="19" ht="30" customHeight="1">
      <c r="A19" s="6" t="inlineStr">
        <is>
          <t>וזה, בקטנה.</t>
        </is>
      </c>
      <c r="B19" s="2" t="n"/>
      <c r="C19" s="2" t="n"/>
      <c r="D19" s="2" t="n"/>
    </row>
    <row r="20" ht="30" customHeight="1">
      <c r="A20" s="2" t="n"/>
      <c r="B20" s="2" t="n"/>
      <c r="C20" s="2" t="n"/>
      <c r="D20" s="2" t="n"/>
    </row>
    <row r="21" ht="58" customHeight="1">
      <c r="A21" s="7" t="inlineStr">
        <is>
          <t>תוכן כללי ללמידה. לא ייעוץ משכנתאות, לא ייעוץ פיננסי אישי, לא ייעוץ מס, לא הצעה ולא אישור של בנק, ולא המלצה על בנק או מוצר. החישוב מניח ריבית אחת לכל ההלוואה ובלי הצמדה למדד. משכנתא אמיתית בנויה ממסלולים, וההחזר בה יכול להשתנות. ההנחות והמקורות בלשונית האחרונה.</t>
        </is>
      </c>
    </row>
    <row r="22" ht="30" customHeight="1">
      <c r="A22" s="7" t="inlineStr">
        <is>
          <t>kesefbaktana@gmail.com · גרסה 2, 30.10.2026</t>
        </is>
      </c>
    </row>
    <row r="23" ht="30" customHeight="1">
      <c r="A23" s="2" t="n"/>
      <c r="B23" s="2" t="n"/>
      <c r="C23" s="2" t="n"/>
      <c r="D23" s="2" t="n"/>
    </row>
    <row r="24">
      <c r="A24" s="2" t="n"/>
      <c r="B24" s="2" t="n"/>
      <c r="C24" s="2" t="n"/>
      <c r="D24" s="2" t="n"/>
    </row>
    <row r="25">
      <c r="A25" s="2" t="n"/>
      <c r="B25" s="2" t="n"/>
      <c r="C25" s="2" t="n"/>
      <c r="D25" s="2" t="n"/>
    </row>
    <row r="26">
      <c r="A26" s="2" t="n"/>
      <c r="B26" s="2" t="n"/>
      <c r="C26" s="2" t="n"/>
      <c r="D26" s="2" t="n"/>
    </row>
    <row r="27">
      <c r="A27" s="2" t="n"/>
      <c r="B27" s="2" t="n"/>
      <c r="C27" s="2" t="n"/>
      <c r="D27" s="2" t="n"/>
    </row>
    <row r="28">
      <c r="A28" s="2" t="n"/>
      <c r="B28" s="2" t="n"/>
      <c r="C28" s="2" t="n"/>
      <c r="D28" s="2" t="n"/>
    </row>
    <row r="29">
      <c r="A29" s="2" t="n"/>
      <c r="B29" s="2" t="n"/>
      <c r="C29" s="2" t="n"/>
      <c r="D29" s="2" t="n"/>
    </row>
    <row r="30">
      <c r="A30" s="2" t="n"/>
      <c r="B30" s="2" t="n"/>
      <c r="C30" s="2" t="n"/>
      <c r="D30" s="2" t="n"/>
    </row>
    <row r="31">
      <c r="A31" s="2" t="n"/>
      <c r="B31" s="2" t="n"/>
      <c r="C31" s="2" t="n"/>
      <c r="D31" s="2" t="n"/>
    </row>
    <row r="32">
      <c r="A32" s="2" t="n"/>
      <c r="B32" s="2" t="n"/>
      <c r="C32" s="2" t="n"/>
      <c r="D32" s="2" t="n"/>
    </row>
    <row r="33">
      <c r="A33" s="2" t="n"/>
      <c r="B33" s="2" t="n"/>
      <c r="C33" s="2" t="n"/>
      <c r="D33" s="2" t="n"/>
    </row>
    <row r="34">
      <c r="A34" s="2" t="n"/>
      <c r="B34" s="2" t="n"/>
      <c r="C34" s="2" t="n"/>
      <c r="D34" s="2" t="n"/>
    </row>
    <row r="35">
      <c r="A35" s="2" t="n"/>
      <c r="B35" s="2" t="n"/>
      <c r="C35" s="2" t="n"/>
      <c r="D35" s="2" t="n"/>
    </row>
    <row r="36">
      <c r="A36" s="2" t="n"/>
      <c r="B36" s="2" t="n"/>
      <c r="C36" s="2" t="n"/>
      <c r="D36" s="2" t="n"/>
    </row>
    <row r="37">
      <c r="A37" s="2" t="n"/>
      <c r="B37" s="2" t="n"/>
      <c r="C37" s="2" t="n"/>
      <c r="D37" s="2" t="n"/>
    </row>
    <row r="38">
      <c r="A38" s="2" t="n"/>
      <c r="B38" s="2" t="n"/>
      <c r="C38" s="2" t="n"/>
      <c r="D38" s="2" t="n"/>
    </row>
    <row r="39">
      <c r="A39" s="2" t="n"/>
      <c r="B39" s="2" t="n"/>
      <c r="C39" s="2" t="n"/>
      <c r="D39" s="2" t="n"/>
    </row>
  </sheetData>
  <sheetProtection selectLockedCells="0" selectUnlockedCells="0" sheet="1" objects="0" insertRows="1" insertHyperlinks="1" autoFilter="1" scenarios="0" formatColumns="0" deleteColumns="1" insertColumns="1" pivotTables="1" deleteRows="1" formatCells="0" formatRows="1" sort="1"/>
  <mergeCells count="16">
    <mergeCell ref="A5:D5"/>
    <mergeCell ref="A17:D17"/>
    <mergeCell ref="A9:D9"/>
    <mergeCell ref="A8:D8"/>
    <mergeCell ref="A6:D6"/>
    <mergeCell ref="A22:D22"/>
    <mergeCell ref="A12:D12"/>
    <mergeCell ref="A4:D4"/>
    <mergeCell ref="A21:D21"/>
    <mergeCell ref="A15:D15"/>
    <mergeCell ref="A7:D7"/>
    <mergeCell ref="A16:D16"/>
    <mergeCell ref="A11:D11"/>
    <mergeCell ref="A10:D10"/>
    <mergeCell ref="A13:D13"/>
    <mergeCell ref="A14:D1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32"/>
  <sheetViews>
    <sheetView showGridLines="0" rightToLeft="1" workbookViewId="0">
      <selection activeCell="A1" sqref="A1"/>
    </sheetView>
  </sheetViews>
  <sheetFormatPr baseColWidth="8" defaultRowHeight="15"/>
  <cols>
    <col width="30" customWidth="1" min="1" max="1"/>
    <col width="13" customWidth="1" min="2" max="2"/>
    <col width="13" customWidth="1" min="3" max="3"/>
    <col width="13" customWidth="1" min="4" max="4"/>
    <col width="14" customWidth="1" min="5" max="5"/>
    <col width="34" customWidth="1" min="6" max="6"/>
  </cols>
  <sheetData>
    <row r="1">
      <c r="A1" s="8" t="inlineStr">
        <is>
          <t>שלושת הצעדים</t>
        </is>
      </c>
    </row>
    <row r="2">
      <c r="A2" s="9" t="inlineStr">
        <is>
          <t>מהוובינר "לאן הולך הכסף שלכם?". מה שממלאים כאן עובר לבד ללשונית 1.</t>
        </is>
      </c>
    </row>
    <row r="4">
      <c r="A4" s="10" t="inlineStr">
        <is>
          <t>צעד 1: 3 חודשים אחורה</t>
        </is>
      </c>
      <c r="B4" s="10" t="inlineStr">
        <is>
          <t>חודש 1</t>
        </is>
      </c>
      <c r="C4" s="10" t="inlineStr">
        <is>
          <t>חודש 2</t>
        </is>
      </c>
      <c r="D4" s="10" t="inlineStr">
        <is>
          <t>חודש 3</t>
        </is>
      </c>
      <c r="E4" s="10" t="inlineStr">
        <is>
          <t>ממוצע</t>
        </is>
      </c>
      <c r="F4" s="10" t="inlineStr">
        <is>
          <t>מה נכנס</t>
        </is>
      </c>
    </row>
    <row r="5" ht="44" customHeight="1">
      <c r="A5" s="11" t="inlineStr">
        <is>
          <t>דיור, בלי שכר דירה</t>
        </is>
      </c>
      <c r="B5" s="12" t="n"/>
      <c r="C5" s="12" t="n"/>
      <c r="D5" s="12" t="n"/>
      <c r="E5" s="13">
        <f>IF(COUNT(B5:D5)=0,"",AVERAGE(B5:D5))</f>
        <v/>
      </c>
      <c r="F5" s="14" t="inlineStr">
        <is>
          <t>חשבונות, ארנונה, ועד בית</t>
        </is>
      </c>
    </row>
    <row r="6" ht="44" customHeight="1">
      <c r="A6" s="11" t="inlineStr">
        <is>
          <t>שכר דירה</t>
        </is>
      </c>
      <c r="B6" s="12" t="n"/>
      <c r="C6" s="12" t="n"/>
      <c r="D6" s="12" t="n"/>
      <c r="E6" s="13">
        <f>IF(COUNT(B6:D6)=0,"",AVERAGE(B6:D6))</f>
        <v/>
      </c>
      <c r="F6" s="14" t="inlineStr">
        <is>
          <t>עובר לשורת שכר הדירה בלשונית 1</t>
        </is>
      </c>
    </row>
    <row r="7" ht="44" customHeight="1">
      <c r="A7" s="11" t="inlineStr">
        <is>
          <t>אוכל</t>
        </is>
      </c>
      <c r="B7" s="12" t="n"/>
      <c r="C7" s="12" t="n"/>
      <c r="D7" s="12" t="n"/>
      <c r="E7" s="13">
        <f>IF(COUNT(B7:D7)=0,"",AVERAGE(B7:D7))</f>
        <v/>
      </c>
      <c r="F7" s="14" t="inlineStr">
        <is>
          <t>סופר, מסעדות, משלוחים</t>
        </is>
      </c>
    </row>
    <row r="8" ht="44" customHeight="1">
      <c r="A8" s="11" t="inlineStr">
        <is>
          <t>ילדים</t>
        </is>
      </c>
      <c r="B8" s="12" t="n"/>
      <c r="C8" s="12" t="n"/>
      <c r="D8" s="12" t="n"/>
      <c r="E8" s="13">
        <f>IF(COUNT(B8:D8)=0,"",AVERAGE(B8:D8))</f>
        <v/>
      </c>
      <c r="F8" s="14" t="inlineStr">
        <is>
          <t>גן, חוגים, ביגוד</t>
        </is>
      </c>
    </row>
    <row r="9" ht="44" customHeight="1">
      <c r="A9" s="11" t="inlineStr">
        <is>
          <t>רכב ותחבורה</t>
        </is>
      </c>
      <c r="B9" s="12" t="n"/>
      <c r="C9" s="12" t="n"/>
      <c r="D9" s="12" t="n"/>
      <c r="E9" s="13">
        <f>IF(COUNT(B9:D9)=0,"",AVERAGE(B9:D9))</f>
        <v/>
      </c>
      <c r="F9" s="14" t="inlineStr">
        <is>
          <t>דלק, חניה, תחבורה ציבורית</t>
        </is>
      </c>
    </row>
    <row r="10" ht="44" customHeight="1">
      <c r="A10" s="11" t="inlineStr">
        <is>
          <t>עזרה למשפחה או מזונות</t>
        </is>
      </c>
      <c r="B10" s="12" t="n"/>
      <c r="C10" s="12" t="n"/>
      <c r="D10" s="12" t="n"/>
      <c r="E10" s="13">
        <f>IF(COUNT(B10:D10)=0,"",AVERAGE(B10:D10))</f>
        <v/>
      </c>
      <c r="F10" s="14" t="inlineStr">
        <is>
          <t>קטגוריה משלה, אם יש</t>
        </is>
      </c>
    </row>
    <row r="11" ht="44" customHeight="1">
      <c r="A11" s="11" t="inlineStr">
        <is>
          <t>כל השאר</t>
        </is>
      </c>
      <c r="B11" s="12" t="n"/>
      <c r="C11" s="12" t="n"/>
      <c r="D11" s="12" t="n"/>
      <c r="E11" s="13">
        <f>IF(COUNT(B11:D11)=0,"",AVERAGE(B11:D11))</f>
        <v/>
      </c>
      <c r="F11" s="14" t="inlineStr">
        <is>
          <t>כל מה שלא נכנס למעלה, כולל החזרי הלוואות</t>
        </is>
      </c>
    </row>
    <row r="12" ht="44" customHeight="1">
      <c r="A12" s="15" t="inlineStr">
        <is>
          <t>סה״כ בחודש, בממוצע</t>
        </is>
      </c>
      <c r="E12" s="16">
        <f>IF(COUNT(E5:E11)=0,"",SUM(E5:E11))</f>
        <v/>
      </c>
    </row>
    <row r="13" ht="44" customHeight="1"/>
    <row r="14" ht="44" customHeight="1">
      <c r="A14" s="10" t="inlineStr">
        <is>
          <t>צעד 2: הקופה השנתית</t>
        </is>
      </c>
      <c r="B14" s="10" t="inlineStr">
        <is>
          <t>כמה בשנה</t>
        </is>
      </c>
      <c r="C14" s="10" t="inlineStr"/>
      <c r="D14" s="10" t="inlineStr"/>
      <c r="E14" s="10" t="inlineStr"/>
      <c r="F14" s="10" t="inlineStr"/>
    </row>
    <row r="15" ht="44" customHeight="1">
      <c r="A15" s="11" t="inlineStr">
        <is>
          <t>ביטוח רכב</t>
        </is>
      </c>
      <c r="B15" s="12" t="n"/>
    </row>
    <row r="16" ht="44" customHeight="1">
      <c r="A16" s="11" t="inlineStr">
        <is>
          <t>טסט ורישוי</t>
        </is>
      </c>
      <c r="B16" s="12" t="n"/>
    </row>
    <row r="17" ht="44" customHeight="1">
      <c r="A17" s="11" t="inlineStr">
        <is>
          <t>חגים</t>
        </is>
      </c>
      <c r="B17" s="12" t="n"/>
    </row>
    <row r="18" ht="44" customHeight="1">
      <c r="A18" s="11" t="inlineStr">
        <is>
          <t>ימי הולדת ומתנות</t>
        </is>
      </c>
      <c r="B18" s="12" t="n"/>
    </row>
    <row r="19" ht="44" customHeight="1">
      <c r="A19" s="11" t="inlineStr">
        <is>
          <t>קייטנות</t>
        </is>
      </c>
      <c r="B19" s="12" t="n"/>
    </row>
    <row r="20">
      <c r="A20" s="11" t="inlineStr">
        <is>
          <t>אחר</t>
        </is>
      </c>
      <c r="B20" s="12" t="n"/>
    </row>
    <row r="21">
      <c r="A21" s="11" t="inlineStr">
        <is>
          <t>אחר</t>
        </is>
      </c>
      <c r="B21" s="12" t="n"/>
    </row>
    <row r="22">
      <c r="A22" s="11" t="inlineStr">
        <is>
          <t>אחר</t>
        </is>
      </c>
      <c r="B22" s="12" t="n"/>
    </row>
    <row r="23">
      <c r="A23" s="11" t="inlineStr">
        <is>
          <t>סה״כ בשנה</t>
        </is>
      </c>
      <c r="B23" s="13">
        <f>IF(COUNT(B15:B22)=0,"",SUM(B15:B22))</f>
        <v/>
      </c>
    </row>
    <row r="24">
      <c r="A24" s="15" t="inlineStr">
        <is>
          <t>לקופה בכל חודש</t>
        </is>
      </c>
      <c r="B24" s="16">
        <f>IF(B23="","",B23/12)</f>
        <v/>
      </c>
      <c r="F24" s="14" t="inlineStr">
        <is>
          <t>נכנס להוצאות הקבועות בלשונית 1, כדי שאף חודש לא יפתיע</t>
        </is>
      </c>
    </row>
    <row r="26">
      <c r="A26" s="10" t="inlineStr">
        <is>
          <t>צעד 3: קודם לעצמכם</t>
        </is>
      </c>
      <c r="B26" s="10" t="inlineStr"/>
      <c r="C26" s="10" t="inlineStr"/>
      <c r="D26" s="10" t="inlineStr"/>
      <c r="E26" s="10" t="inlineStr"/>
      <c r="F26" s="10" t="inlineStr"/>
    </row>
    <row r="27">
      <c r="A27" s="11" t="inlineStr">
        <is>
          <t>★1 כמה נשאר בסוף חודש, היום</t>
        </is>
      </c>
      <c r="B27" s="13">
        <f>'2 ההחזר הנוח'!B9</f>
        <v/>
      </c>
      <c r="F27" s="14" t="inlineStr">
        <is>
          <t>מלשונית 2. מתעדכן אחרי שממלאים הכנסות בלשונית 1</t>
        </is>
      </c>
    </row>
    <row r="28">
      <c r="A28" s="11" t="inlineStr">
        <is>
          <t>כמה יוצא לחיסכון יום אחרי המשכורת</t>
        </is>
      </c>
      <c r="B28" s="12" t="n"/>
      <c r="F28" s="14" t="inlineStr">
        <is>
          <t>בהוראת קבע. עובר לשורת החיסכון בלשונית 1</t>
        </is>
      </c>
    </row>
    <row r="29">
      <c r="A29" s="15" t="inlineStr">
        <is>
          <t>מה זה אומר</t>
        </is>
      </c>
      <c r="B29" s="17">
        <f>IF(B27="","מלאו בלשונית 1 הכנסה והוצאות, כדי לראות כמה נשאר",IF(B27&lt;0,"במינוס: היום יוצא יותר ממה שנכנס. הסכום הולך קודם לסגירת המינוס",IF(B28="","בחרו סכום. גם 500 ₪ זה התחלה",IF(B28&gt;B27,"הסכום גבוה ממה שנשאר היום. התחילו מסכום נמוך יותר","אפשרי. הוראת קבע יום אחרי המשכורת"))))</f>
        <v/>
      </c>
      <c r="C29" s="18" t="n"/>
      <c r="D29" s="18" t="n"/>
      <c r="E29" s="19" t="n"/>
    </row>
    <row r="31">
      <c r="A31" s="20" t="inlineStr">
        <is>
          <t>מה עובר ללשונית 1: דיור, ילדים, רכב, עזרה למשפחה והקופה השנתית - להוצאות הקבועות. אוכל וכל השאר - למשתנות.</t>
        </is>
      </c>
    </row>
    <row r="32">
      <c r="A32" s="20" t="inlineStr">
        <is>
          <t>רוצים לתקן מספר בלשונית 1? כותבים עליו. אז הוא כבר לא מתעדכן מכאן.</t>
        </is>
      </c>
    </row>
  </sheetData>
  <sheetProtection selectLockedCells="0" selectUnlockedCells="0" sheet="1" objects="0" insertRows="1" insertHyperlinks="1" autoFilter="1" scenarios="0" formatColumns="0" deleteColumns="1" insertColumns="1" pivotTables="1" deleteRows="1" formatCells="0" formatRows="1" sort="1"/>
  <mergeCells count="3">
    <mergeCell ref="A31:F31"/>
    <mergeCell ref="B29:E29"/>
    <mergeCell ref="A32:F32"/>
  </mergeCells>
  <dataValidations count="1">
    <dataValidation sqref="B5:D11 B15:B22 B28" showDropDown="0" showInputMessage="0" showErrorMessage="1" allowBlank="0" error="מספר חיובי בלבד" type="decimal" operator="greaterThanOrEqual">
      <formula1>0</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19"/>
  <sheetViews>
    <sheetView showGridLines="0" rightToLeft="1" workbookViewId="0">
      <selection activeCell="A1" sqref="A1"/>
    </sheetView>
  </sheetViews>
  <sheetFormatPr baseColWidth="8" defaultRowHeight="15"/>
  <cols>
    <col width="32" customWidth="1" min="1" max="1"/>
    <col width="15" customWidth="1" min="2" max="2"/>
    <col width="15" customWidth="1" min="3" max="3"/>
    <col width="38" customWidth="1" min="4" max="4"/>
  </cols>
  <sheetData>
    <row r="1">
      <c r="A1" s="8" t="inlineStr">
        <is>
          <t>1. הנתונים שלכם</t>
        </is>
      </c>
    </row>
    <row r="2">
      <c r="A2" s="9" t="inlineStr">
        <is>
          <t>ממלאים רק את התאים הצהובים, בעמודה "שלכם". מילאתם את שלושת הצעדים? ההוצאות, שכר הדירה והחיסכון כבר כאן. העמודה האפורה היא דוגמה להמחשה, לא המלצה.</t>
        </is>
      </c>
    </row>
    <row r="4">
      <c r="A4" s="10" t="inlineStr"/>
      <c r="B4" s="10" t="inlineStr">
        <is>
          <t>שלכם</t>
        </is>
      </c>
      <c r="C4" s="10" t="inlineStr">
        <is>
          <t>דוגמה להמחשה</t>
        </is>
      </c>
      <c r="D4" s="10" t="inlineStr">
        <is>
          <t>איך ממלאים</t>
        </is>
      </c>
    </row>
    <row r="5" ht="44" customHeight="1">
      <c r="A5" s="11" t="inlineStr">
        <is>
          <t>הכנסה נטו בחודש - בן/בת זוג א'</t>
        </is>
      </c>
      <c r="B5" s="12" t="n"/>
      <c r="C5" s="21" t="n">
        <v>14000</v>
      </c>
      <c r="D5" s="14" t="inlineStr">
        <is>
          <t>ממוצע 6 חודשים אחרונים, מתלוש השכר. בלי בונוסים חד-פעמיים</t>
        </is>
      </c>
    </row>
    <row r="6" ht="44" customHeight="1">
      <c r="A6" s="11" t="inlineStr">
        <is>
          <t>הכנסה נטו בחודש - בן/בת זוג ב'</t>
        </is>
      </c>
      <c r="B6" s="12" t="n"/>
      <c r="C6" s="21" t="n">
        <v>11000</v>
      </c>
      <c r="D6" s="14" t="inlineStr">
        <is>
          <t>אם יש הכנסה אחת - משאירים ריק</t>
        </is>
      </c>
    </row>
    <row r="7" ht="44" customHeight="1">
      <c r="A7" s="11" t="inlineStr">
        <is>
          <t>הוצאות קבועות בחודש, בלי שכר דירה</t>
        </is>
      </c>
      <c r="B7" s="12">
        <f>IF(COUNT('שלושת הצעדים'!E5,'שלושת הצעדים'!E8,'שלושת הצעדים'!E9,'שלושת הצעדים'!E10,'שלושת הצעדים'!B24)=0,"",N('שלושת הצעדים'!E5)+N('שלושת הצעדים'!E8)+N('שלושת הצעדים'!E9)+N('שלושת הצעדים'!E10)+N('שלושת הצעדים'!B24))</f>
        <v/>
      </c>
      <c r="C7" s="21" t="n">
        <v>7500</v>
      </c>
      <c r="D7" s="14" t="inlineStr">
        <is>
          <t>חשבונות, תחבורה, מנויים, גן, החזרי הלוואות</t>
        </is>
      </c>
    </row>
    <row r="8" ht="44" customHeight="1">
      <c r="A8" s="11" t="inlineStr">
        <is>
          <t>הוצאות משתנות בחודש</t>
        </is>
      </c>
      <c r="B8" s="12">
        <f>IF(COUNT('שלושת הצעדים'!E7,'שלושת הצעדים'!E11)=0,"",N('שלושת הצעדים'!E7)+N('שלושת הצעדים'!E11))</f>
        <v/>
      </c>
      <c r="C8" s="21" t="n">
        <v>6000</v>
      </c>
      <c r="D8" s="14" t="inlineStr">
        <is>
          <t>ממוצע 3 חודשים מדף החשבון ומהאשראי: אוכל, בילויים, קניות</t>
        </is>
      </c>
    </row>
    <row r="9" ht="44" customHeight="1">
      <c r="A9" s="11" t="inlineStr">
        <is>
          <t>שכר דירה היום</t>
        </is>
      </c>
      <c r="B9" s="12">
        <f>IF('שלושת הצעדים'!E6="","",'שלושת הצעדים'!E6)</f>
        <v/>
      </c>
      <c r="C9" s="21" t="n">
        <v>5200</v>
      </c>
      <c r="D9" s="14" t="inlineStr">
        <is>
          <t>יוצא מהחשבון אחרי הקנייה, ובמקומו נכנס ההחזר</t>
        </is>
      </c>
    </row>
    <row r="10" ht="44" customHeight="1">
      <c r="A10" s="11" t="inlineStr">
        <is>
          <t>תוספות בדירה בבעלות</t>
        </is>
      </c>
      <c r="B10" s="12" t="n"/>
      <c r="C10" s="21" t="n">
        <v>600</v>
      </c>
      <c r="D10" s="14" t="inlineStr">
        <is>
          <t>ועד בית, הפרש ארנונה, ביטוחי חיים ומבנה שהבנק דורש - לפי הצעה שקיבלתם</t>
        </is>
      </c>
    </row>
    <row r="11" ht="44" customHeight="1">
      <c r="A11" s="11" t="inlineStr">
        <is>
          <t>חיסכון חודשי שרוצים להמשיך</t>
        </is>
      </c>
      <c r="B11" s="12">
        <f>IF('שלושת הצעדים'!B28="","",'שלושת הצעדים'!B28)</f>
        <v/>
      </c>
      <c r="C11" s="21" t="n">
        <v>1500</v>
      </c>
      <c r="D11" s="14" t="inlineStr">
        <is>
          <t>הסכום שלא רוצים לוותר עליו גם אחרי הקנייה</t>
        </is>
      </c>
    </row>
    <row r="12" ht="44" customHeight="1">
      <c r="A12" s="11" t="inlineStr">
        <is>
          <t>הון עצמי זמין היום</t>
        </is>
      </c>
      <c r="B12" s="12" t="n"/>
      <c r="C12" s="21" t="n">
        <v>450000</v>
      </c>
      <c r="D12" s="14" t="inlineStr">
        <is>
          <t>כל מה שאפשר להשתמש בו לקנייה, כולל עזרה מההורים אם היא סגורה</t>
        </is>
      </c>
    </row>
    <row r="13" ht="44" customHeight="1">
      <c r="A13" s="11" t="inlineStr">
        <is>
          <t>עלויות סביב הקנייה</t>
        </is>
      </c>
      <c r="B13" s="12" t="n"/>
      <c r="C13" s="21" t="n">
        <v>40000</v>
      </c>
      <c r="D13" s="14" t="inlineStr">
        <is>
          <t>עורך דין, שמאי, תיווך, פתיחת תיק, ומס רכישה אם יש (מחשבון רשות המסים, קישור בלשונית ההנחות)</t>
        </is>
      </c>
    </row>
    <row r="14" ht="44" customHeight="1">
      <c r="A14" s="11" t="inlineStr">
        <is>
          <t>החודש הראשון בדירה</t>
        </is>
      </c>
      <c r="B14" s="12" t="n"/>
      <c r="C14" s="21" t="n">
        <v>7000</v>
      </c>
      <c r="D14" s="14" t="inlineStr">
        <is>
          <t>הובלה, מכונת כביסה, וילונות, תיקון ראשון, מנעולים</t>
        </is>
      </c>
    </row>
    <row r="15" ht="44" customHeight="1">
      <c r="A15" s="11" t="inlineStr">
        <is>
          <t>כמה חודשי הוצאות להשאיר בצד</t>
        </is>
      </c>
      <c r="B15" s="22" t="n"/>
      <c r="C15" s="23" t="n">
        <v>3</v>
      </c>
      <c r="D15" s="14" t="inlineStr">
        <is>
          <t>כלל אצבע נפוץ: לפחות 3. זו כרית הביטחון, והיא לא הופכת להון עצמי</t>
        </is>
      </c>
    </row>
    <row r="16" ht="44" customHeight="1">
      <c r="A16" s="24" t="inlineStr">
        <is>
          <t>ההלוואה</t>
        </is>
      </c>
    </row>
    <row r="17" ht="44" customHeight="1">
      <c r="A17" s="11" t="inlineStr">
        <is>
          <t>ריבית שנתית משוערת להלוואה</t>
        </is>
      </c>
      <c r="B17" s="25" t="n"/>
      <c r="C17" s="26" t="n">
        <v>0.045</v>
      </c>
      <c r="D17" s="14" t="inlineStr">
        <is>
          <t>מהצעה של בנק או מיועץ משכנתאות. 4.5% בדוגמה הוא להמחשה בלבד, לא תחזית</t>
        </is>
      </c>
    </row>
    <row r="18" ht="44" customHeight="1">
      <c r="A18" s="11" t="inlineStr">
        <is>
          <t>שנות הלוואה</t>
        </is>
      </c>
      <c r="B18" s="22" t="n"/>
      <c r="C18" s="23" t="n">
        <v>25</v>
      </c>
      <c r="D18" s="14" t="inlineStr">
        <is>
          <t>עד 30 שנה (הגבלת בנק ישראל)</t>
        </is>
      </c>
    </row>
    <row r="19" ht="44" customHeight="1">
      <c r="A19" s="11" t="inlineStr">
        <is>
          <t>אחוז מימון מרבי</t>
        </is>
      </c>
      <c r="B19" s="25" t="n"/>
      <c r="C19" s="26" t="n">
        <v>0.75</v>
      </c>
      <c r="D19" s="14" t="inlineStr">
        <is>
          <t>דירה יחידה 75%, משפרי דיור 70%, להשקעה 50% (בנק ישראל, 30.6.2026)</t>
        </is>
      </c>
    </row>
  </sheetData>
  <sheetProtection selectLockedCells="0" selectUnlockedCells="0" sheet="1" objects="0" insertRows="1" insertHyperlinks="1" autoFilter="1" scenarios="0" formatColumns="0" deleteColumns="1" insertColumns="1" pivotTables="1" deleteRows="1" formatCells="0" formatRows="1" sort="1"/>
  <dataValidations count="5">
    <dataValidation sqref="B5:B14" showDropDown="0" showInputMessage="0" showErrorMessage="1" allowBlank="0" error="מספר חיובי בלבד" type="decimal" operator="greaterThanOrEqual">
      <formula1>0</formula1>
    </dataValidation>
    <dataValidation sqref="B15" showDropDown="0" showInputMessage="0" showErrorMessage="1" allowBlank="0" error="בין 0 ל-24 חודשים" type="decimal" operator="between">
      <formula1>0</formula1>
      <formula2>24</formula2>
    </dataValidation>
    <dataValidation sqref="B17" showDropDown="0" showInputMessage="0" showErrorMessage="1" allowBlank="0" error="ריבית שנתית בין 0% ל-20% (למשל 4.5%)" type="decimal" operator="between">
      <formula1>0</formula1>
      <formula2>0.2</formula2>
    </dataValidation>
    <dataValidation sqref="B18" showDropDown="0" showInputMessage="0" showErrorMessage="1" allowBlank="0" error="בין 1 ל-30 שנה" type="whole" operator="between">
      <formula1>1</formula1>
      <formula2>30</formula2>
    </dataValidation>
    <dataValidation sqref="B19" showDropDown="0" showInputMessage="0" showErrorMessage="1" allowBlank="0" error="עד 75%" type="decimal" operator="between">
      <formula1>0.01</formula1>
      <formula2>0.75</formula2>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9"/>
  <sheetViews>
    <sheetView showGridLines="0" rightToLeft="1" workbookViewId="0">
      <selection activeCell="A1" sqref="A1"/>
    </sheetView>
  </sheetViews>
  <sheetFormatPr baseColWidth="8" defaultRowHeight="15"/>
  <cols>
    <col width="32" customWidth="1" min="1" max="1"/>
    <col width="18" customWidth="1" min="2" max="2"/>
    <col width="18" customWidth="1" min="3" max="3"/>
    <col width="38" customWidth="1" min="4" max="4"/>
  </cols>
  <sheetData>
    <row r="1">
      <c r="A1" s="8" t="inlineStr">
        <is>
          <t>2. ההחזר הנוח</t>
        </is>
      </c>
    </row>
    <row r="2">
      <c r="A2" s="9" t="inlineStr">
        <is>
          <t>הבנק בודק כמה תוכלו להחזיר. כאן בודקים כמה נוח לכם להחזיר.</t>
        </is>
      </c>
    </row>
    <row r="4">
      <c r="A4" s="10" t="inlineStr"/>
      <c r="B4" s="10" t="inlineStr">
        <is>
          <t>שלכם</t>
        </is>
      </c>
      <c r="C4" s="10" t="inlineStr">
        <is>
          <t>בדוגמה</t>
        </is>
      </c>
      <c r="D4" s="10" t="inlineStr">
        <is>
          <t>מה זה אומר</t>
        </is>
      </c>
    </row>
    <row r="5" ht="44" customHeight="1">
      <c r="A5" s="11" t="inlineStr">
        <is>
          <t>הכנסה נטו של שניכם</t>
        </is>
      </c>
      <c r="B5" s="13">
        <f>IF(AND(SUM('1 הנתונים שלכם'!B5:B6)&gt;0,ISNUMBER('1 הנתונים שלכם'!B7),ISNUMBER('1 הנתונים שלכם'!B8)),'1 הנתונים שלכם'!B5+'1 הנתונים שלכם'!B6,"")</f>
        <v/>
      </c>
      <c r="C5" s="21">
        <f>IF(AND(SUM('1 הנתונים שלכם'!C5:C6)&gt;0,ISNUMBER('1 הנתונים שלכם'!C7),ISNUMBER('1 הנתונים שלכם'!C8)),'1 הנתונים שלכם'!C5+'1 הנתונים שלכם'!C6,"")</f>
        <v/>
      </c>
    </row>
    <row r="6" ht="44" customHeight="1">
      <c r="A6" s="11" t="inlineStr">
        <is>
          <t>הוצאות קבועות ומשתנות, בלי שכר דירה</t>
        </is>
      </c>
      <c r="B6" s="13">
        <f>IF(B5="","",'1 הנתונים שלכם'!B7+'1 הנתונים שלכם'!B8)</f>
        <v/>
      </c>
      <c r="C6" s="21">
        <f>IF(C5="","",'1 הנתונים שלכם'!C7+'1 הנתונים שלכם'!C8)</f>
        <v/>
      </c>
    </row>
    <row r="7" ht="44" customHeight="1">
      <c r="A7" s="11" t="inlineStr">
        <is>
          <t>תוספות בדירה בבעלות</t>
        </is>
      </c>
      <c r="B7" s="13">
        <f>IF(B5="","",'1 הנתונים שלכם'!B10+0)</f>
        <v/>
      </c>
      <c r="C7" s="21">
        <f>IF(C5="","",'1 הנתונים שלכם'!C10+0)</f>
        <v/>
      </c>
    </row>
    <row r="8" ht="44" customHeight="1">
      <c r="A8" s="11" t="inlineStr">
        <is>
          <t>חיסכון שרוצים להמשיך</t>
        </is>
      </c>
      <c r="B8" s="13">
        <f>IF(B5="","",N('1 הנתונים שלכם'!B11))</f>
        <v/>
      </c>
      <c r="C8" s="21">
        <f>IF(C5="","",N('1 הנתונים שלכם'!C11))</f>
        <v/>
      </c>
    </row>
    <row r="9" ht="44" customHeight="1">
      <c r="A9" s="15" t="inlineStr">
        <is>
          <t>★1 כמה נשאר בסוף חודש, היום</t>
        </is>
      </c>
      <c r="B9" s="16">
        <f>IF(B5="","",B5-B6-N('1 הנתונים שלכם'!B9))</f>
        <v/>
      </c>
      <c r="C9" s="21">
        <f>IF(C5="","",C5-C6-N('1 הנתונים שלכם'!C9))</f>
        <v/>
      </c>
      <c r="D9" s="14" t="inlineStr">
        <is>
          <t>הכנסה פחות הוצאות ושכר דירה. בדקו מול דף החשבון: אם שם נשאר פחות, ההוצאות שכתבתם נמוכות מהמציאות</t>
        </is>
      </c>
    </row>
    <row r="10" ht="44" customHeight="1">
      <c r="A10" s="11" t="inlineStr">
        <is>
          <t>החזר שמשאיר את החיסכון</t>
        </is>
      </c>
      <c r="B10" s="13">
        <f>IF(B5="","",B5-B6-B7-B8)</f>
        <v/>
      </c>
      <c r="C10" s="21">
        <f>IF(C5="","",C5-C6-C7-C8)</f>
        <v/>
      </c>
      <c r="D10" s="14" t="inlineStr">
        <is>
          <t>הכנסה פחות הוצאות, תוספות וחיסכון</t>
        </is>
      </c>
    </row>
    <row r="11" ht="44" customHeight="1">
      <c r="A11" s="15" t="inlineStr">
        <is>
          <t>ההחזר הנוח לכם</t>
        </is>
      </c>
      <c r="B11" s="16">
        <f>IF(B5="","",MAX(0,B10)/(1+'הנחות ומקורות'!$B$6))</f>
        <v/>
      </c>
      <c r="C11" s="21">
        <f>IF(C5="","",MAX(0,C10)/(1+'הנחות ומקורות'!$B$6))</f>
        <v/>
      </c>
      <c r="D11" s="14" t="inlineStr">
        <is>
          <t>ממשיכים לחסוך, ונשאר מרווח אם ההחזר עולה (15%). זה המספר שכדאי להכיר לפני כל שיחה עם הבנק</t>
        </is>
      </c>
    </row>
    <row r="12" ht="44" customHeight="1">
      <c r="A12" s="11" t="inlineStr">
        <is>
          <t>מה זה אומר</t>
        </is>
      </c>
      <c r="B12" s="27">
        <f>IF(B5="","",IF(B10&lt;=0,"אין מקום להחזר. קודם מסדרים את התקציב","לפי החישוב: משאיר חיסכון ומרווח"))</f>
        <v/>
      </c>
      <c r="C12" s="28">
        <f>IF(C5="","",IF(C10&lt;=0,"אין מקום להחזר. קודם מסדרים את התקציב","לפי החישוב: משאיר חיסכון ומרווח"))</f>
        <v/>
      </c>
    </row>
    <row r="13" ht="44" customHeight="1">
      <c r="A13" s="15" t="inlineStr">
        <is>
          <t>★2 כמה נשאר בצד אחרי הקנייה</t>
        </is>
      </c>
      <c r="B13" s="16">
        <f>IF(B5="","",'1 הנתונים שלכם'!B15*(B6+B7+B11))</f>
        <v/>
      </c>
      <c r="C13" s="21">
        <f>IF(C5="","",'1 הנתונים שלכם'!C15*(C6+C7+C11))</f>
        <v/>
      </c>
      <c r="D13" s="14" t="inlineStr">
        <is>
          <t>חודשי ההוצאות שבחרתם בלשונית 1, כולל ההחזר החדש. הכרית לא נכנסת לקנייה</t>
        </is>
      </c>
    </row>
    <row r="14" ht="44" customHeight="1">
      <c r="A14" s="15" t="inlineStr">
        <is>
          <t>★3 מבחן החודש הרע: נשאר או חסר</t>
        </is>
      </c>
      <c r="B14" s="16">
        <f>IF(B5="","",B5*(1-'הנחות ומקורות'!$B$5)-B6-B7-B11)</f>
        <v/>
      </c>
      <c r="C14" s="21">
        <f>IF(C5="","",C5*(1-'הנחות ומקורות'!$B$5)-C6-C7-C11)</f>
        <v/>
      </c>
      <c r="D14" s="14" t="inlineStr">
        <is>
          <t>ההכנסה יורדת (20%) והחיסכון נעצר. גם החזר נוח יכול להיכנס למינוס בחודש רע - בשביל זה יש כרית. מינוס גדול = הורידו את ההחזר</t>
        </is>
      </c>
    </row>
    <row r="15" ht="44" customHeight="1">
      <c r="A15" s="11" t="inlineStr">
        <is>
          <t>ואם חסר - לכמה חודשים כאלה הכרית מספיקה</t>
        </is>
      </c>
      <c r="B15" s="27">
        <f>IF(B5="","",IF(B14&gt;=0,"החודש הרע נסגר בלי לגעת בכרית",IF(B13=0,"אין כרית. מלאו חודשים בלשונית 1",IF(B13/-B14&gt;=24,"יותר משנתיים של חודשים כאלה","מספיקה לכ-"&amp;TEXT(INT(B13/-B14),"0")&amp;" חודשים כאלה"))))</f>
        <v/>
      </c>
      <c r="C15" s="28">
        <f>IF(C5="","",IF(C14&gt;=0,"החודש הרע נסגר בלי לגעת בכרית",IF(C13=0,"אין כרית. מלאו חודשים בלשונית 1",IF(C13/-C14&gt;=24,"יותר משנתיים של חודשים כאלה","מספיקה לכ-"&amp;TEXT(INT(C13/-C14),"0")&amp;" חודשים כאלה"))))</f>
        <v/>
      </c>
      <c r="D15" s="14" t="inlineStr">
        <is>
          <t>בהנחה שההכנסה יורדת ב-20% ושום דבר אחר לא משתנה</t>
        </is>
      </c>
    </row>
    <row r="16" ht="44" customHeight="1">
      <c r="A16" s="11" t="inlineStr">
        <is>
          <t>ההחזר הנוח כאחוז מההכנסה</t>
        </is>
      </c>
      <c r="B16" s="29">
        <f>IF(B5="","",B11/B5)</f>
        <v/>
      </c>
      <c r="C16" s="26">
        <f>IF(C5="","",C11/C5)</f>
        <v/>
      </c>
      <c r="D16" s="14" t="inlineStr">
        <is>
          <t>הבנק יכול לאשר יותר (עד 50% מהכנסה פנויה). הגבול של הבנק הוא לא היעד שלכם</t>
        </is>
      </c>
    </row>
    <row r="17" ht="44" customHeight="1"/>
    <row r="18" ht="44" customHeight="1">
      <c r="A18" s="30" t="inlineStr">
        <is>
          <t>עוד לא רואים מספר? מלאו בלשונית 1 לפחות הכנסה אחת, הוצאות קבועות והוצאות משתנות.</t>
        </is>
      </c>
    </row>
    <row r="19" ht="44" customHeight="1"/>
  </sheetData>
  <sheetProtection selectLockedCells="0" selectUnlockedCells="0" sheet="1" objects="0" insertRows="1" insertHyperlinks="1" autoFilter="1" scenarios="0" formatColumns="0" deleteColumns="1" insertColumns="1" pivotTables="1" deleteRows="1" formatCells="0" formatRows="1" sort="1"/>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9"/>
  <sheetViews>
    <sheetView showGridLines="0" rightToLeft="1" workbookViewId="0">
      <selection activeCell="A1" sqref="A1"/>
    </sheetView>
  </sheetViews>
  <sheetFormatPr baseColWidth="8" defaultRowHeight="15"/>
  <cols>
    <col width="32" customWidth="1" min="1" max="1"/>
    <col width="18" customWidth="1" min="2" max="2"/>
    <col width="18" customWidth="1" min="3" max="3"/>
    <col width="38" customWidth="1" min="4" max="4"/>
  </cols>
  <sheetData>
    <row r="1">
      <c r="A1" s="8" t="inlineStr">
        <is>
          <t>3. מה זה אומר על הדירה</t>
        </is>
      </c>
    </row>
    <row r="2">
      <c r="A2" s="9" t="inlineStr">
        <is>
          <t>תקרה להמחשה, לא מה שהבנק יאשר. מחשבון כללי עם ריבית אחת, בלי הצמדה למדד.</t>
        </is>
      </c>
    </row>
    <row r="4">
      <c r="A4" s="10" t="inlineStr"/>
      <c r="B4" s="10" t="inlineStr">
        <is>
          <t>שלכם</t>
        </is>
      </c>
      <c r="C4" s="10" t="inlineStr">
        <is>
          <t>בדוגמה</t>
        </is>
      </c>
      <c r="D4" s="10" t="inlineStr">
        <is>
          <t>מה זה אומר</t>
        </is>
      </c>
    </row>
    <row r="5" ht="44" customHeight="1">
      <c r="A5" s="11" t="inlineStr">
        <is>
          <t>ההחזר הנוח (מלשונית 2)</t>
        </is>
      </c>
      <c r="B5" s="13">
        <f>IF('2 ההחזר הנוח'!B11="","",IF(AND(ISNUMBER('1 הנתונים שלכם'!B17),'1 הנתונים שלכם'!B18&gt;0,ISNUMBER('1 הנתונים שלכם'!B12),'1 הנתונים שלכם'!B19&gt;0,'1 הנתונים שלכם'!B19&lt;1),'2 ההחזר הנוח'!B11,""))</f>
        <v/>
      </c>
      <c r="C5" s="21">
        <f>IF('2 ההחזר הנוח'!C11="","",IF(AND(ISNUMBER('1 הנתונים שלכם'!C17),'1 הנתונים שלכם'!C18&gt;0,ISNUMBER('1 הנתונים שלכם'!C12),'1 הנתונים שלכם'!C19&gt;0,'1 הנתונים שלכם'!C19&lt;1),'2 ההחזר הנוח'!C11,""))</f>
        <v/>
      </c>
      <c r="D5" s="14" t="inlineStr">
        <is>
          <t>עוד לא רואים? מלאו גם ריבית, שנות הלוואה, הון עצמי ואחוז מימון בלשונית 1</t>
        </is>
      </c>
    </row>
    <row r="6" ht="44" customHeight="1">
      <c r="A6" s="11" t="inlineStr">
        <is>
          <t>מספר תשלומים</t>
        </is>
      </c>
      <c r="B6" s="31">
        <f>IF(B5="","",'1 הנתונים שלכם'!B18*12)</f>
        <v/>
      </c>
      <c r="C6" s="23">
        <f>IF(C5="","",'1 הנתונים שלכם'!C18*12)</f>
        <v/>
      </c>
    </row>
    <row r="7" ht="44" customHeight="1">
      <c r="A7" s="11" t="inlineStr">
        <is>
          <t>ההלוואה שההחזר הזה מחזיר</t>
        </is>
      </c>
      <c r="B7" s="13">
        <f>IF(B5="","",IF('1 הנתונים שלכם'!B17=0,B5*B6,PV('1 הנתונים שלכם'!B17/12,B6,-B5)))</f>
        <v/>
      </c>
      <c r="C7" s="21">
        <f>IF(C5="","",IF('1 הנתונים שלכם'!C17=0,C5*C6,PV('1 הנתונים שלכם'!C17/12,C6,-C5)))</f>
        <v/>
      </c>
      <c r="D7" s="14" t="inlineStr">
        <is>
          <t>סכום ההלוואה שהחזר חודשי קבוע מחזיר בריבית ובשנים שהכנסתם</t>
        </is>
      </c>
    </row>
    <row r="8" ht="44" customHeight="1">
      <c r="A8" s="11" t="inlineStr">
        <is>
          <t>הון עצמי זמין</t>
        </is>
      </c>
      <c r="B8" s="13">
        <f>IF(B5="","",'1 הנתונים שלכם'!B12)</f>
        <v/>
      </c>
      <c r="C8" s="21">
        <f>IF(C5="","",'1 הנתונים שלכם'!C12)</f>
        <v/>
      </c>
    </row>
    <row r="9" ht="44" customHeight="1">
      <c r="A9" s="15" t="inlineStr">
        <is>
          <t>★2 כמה נשאר בצד אחרי הקנייה (מלשונית 2)</t>
        </is>
      </c>
      <c r="B9" s="16">
        <f>IF(B5="","",'2 ההחזר הנוח'!B13)</f>
        <v/>
      </c>
      <c r="C9" s="21">
        <f>IF(C5="","",'2 ההחזר הנוח'!C13)</f>
        <v/>
      </c>
      <c r="D9" s="14" t="inlineStr">
        <is>
          <t>הכרית לא נכנסת לקנייה</t>
        </is>
      </c>
    </row>
    <row r="10" ht="44" customHeight="1">
      <c r="A10" s="11" t="inlineStr">
        <is>
          <t>עלויות סביב הקנייה והחודש הראשון</t>
        </is>
      </c>
      <c r="B10" s="13">
        <f>IF(B5="","",'1 הנתונים שלכם'!B13+'1 הנתונים שלכם'!B14)</f>
        <v/>
      </c>
      <c r="C10" s="21">
        <f>IF(C5="","",'1 הנתונים שלכם'!C13+'1 הנתונים שלכם'!C14)</f>
        <v/>
      </c>
    </row>
    <row r="11" ht="44" customHeight="1">
      <c r="A11" s="11" t="inlineStr">
        <is>
          <t>הון עצמי שנשאר לקנייה עצמה</t>
        </is>
      </c>
      <c r="B11" s="13">
        <f>IF(B5="","",B8-B9-B10)</f>
        <v/>
      </c>
      <c r="C11" s="21">
        <f>IF(C5="","",C8-C9-C10)</f>
        <v/>
      </c>
      <c r="D11" s="14" t="inlineStr">
        <is>
          <t>הון עצמי, פחות הכרית, פחות העלויות</t>
        </is>
      </c>
    </row>
    <row r="12" ht="44" customHeight="1">
      <c r="A12" s="11" t="inlineStr">
        <is>
          <t>תקרה לפי ההחזר</t>
        </is>
      </c>
      <c r="B12" s="13">
        <f>IF(B5="","",B7+MAX(0,B11))</f>
        <v/>
      </c>
      <c r="C12" s="21">
        <f>IF(C5="","",C7+MAX(0,C11))</f>
        <v/>
      </c>
      <c r="D12" s="14" t="inlineStr">
        <is>
          <t>הלוואה + הון עצמי לקנייה</t>
        </is>
      </c>
    </row>
    <row r="13" ht="44" customHeight="1">
      <c r="A13" s="11" t="inlineStr">
        <is>
          <t>תקרה לפי אחוז המימון</t>
        </is>
      </c>
      <c r="B13" s="13">
        <f>IF(B5="","",MAX(0,B11)/(1-'1 הנתונים שלכם'!B19))</f>
        <v/>
      </c>
      <c r="C13" s="21">
        <f>IF(C5="","",MAX(0,C11)/(1-'1 הנתונים שלכם'!C19))</f>
        <v/>
      </c>
      <c r="D13" s="14" t="inlineStr">
        <is>
          <t>כמה דירה ההון העצמי מאפשר לפי אחוז המימון המרבי</t>
        </is>
      </c>
    </row>
    <row r="14" ht="44" customHeight="1">
      <c r="A14" s="15" t="inlineStr">
        <is>
          <t>תקרת מחיר להמחשה</t>
        </is>
      </c>
      <c r="B14" s="16">
        <f>IF(B5="","",MIN(B12,B13))</f>
        <v/>
      </c>
      <c r="C14" s="21">
        <f>IF(C5="","",MIN(C12,C13))</f>
        <v/>
      </c>
      <c r="D14" s="14" t="inlineStr">
        <is>
          <t>הנמוכה מבין השתיים</t>
        </is>
      </c>
    </row>
    <row r="15" ht="44" customHeight="1">
      <c r="A15" s="11" t="inlineStr">
        <is>
          <t>מה מגביל</t>
        </is>
      </c>
      <c r="B15" s="27">
        <f>IF(B5="","",IF(B5=0,"אין מקום להחזר. קודם מסדרים את התקציב",IF(B11&lt;=0,"ההון העצמי לא מכסה כרית ועלויות. קודם חוסכים",IF(B12&lt;=B13,"ההחזר החודשי","ההון העצמי (אחוז המימון)"))))</f>
        <v/>
      </c>
      <c r="C15" s="28">
        <f>IF(C5="","",IF(C5=0,"אין מקום להחזר. קודם מסדרים את התקציב",IF(C11&lt;=0,"ההון העצמי לא מכסה כרית ועלויות. קודם חוסכים",IF(C12&lt;=C13,"ההחזר החודשי","ההון העצמי (אחוז המימון)"))))</f>
        <v/>
      </c>
    </row>
    <row r="16" ht="44" customHeight="1">
      <c r="A16" s="11" t="inlineStr">
        <is>
          <t>ההלוואה בתקרה</t>
        </is>
      </c>
      <c r="B16" s="13">
        <f>IF(B5="","",MAX(0,B14-MAX(0,B11)))</f>
        <v/>
      </c>
      <c r="C16" s="21">
        <f>IF(C5="","",MAX(0,C14-MAX(0,C11)))</f>
        <v/>
      </c>
    </row>
    <row r="17" ht="44" customHeight="1">
      <c r="A17" s="11" t="inlineStr">
        <is>
          <t>ההחזר החודשי בתקרה</t>
        </is>
      </c>
      <c r="B17" s="13">
        <f>IF(B5="","",IF(B16=0,0,IF('1 הנתונים שלכם'!B17=0,B16/B6,PMT('1 הנתונים שלכם'!B17/12,B6,-B16))))</f>
        <v/>
      </c>
      <c r="C17" s="21">
        <f>IF(C5="","",IF(C16=0,0,IF('1 הנתונים שלכם'!C17=0,C16/C6,PMT('1 הנתונים שלכם'!C17/12,C6,-C16))))</f>
        <v/>
      </c>
      <c r="D17" s="14" t="inlineStr">
        <is>
          <t>לא עולה על ההחזר הנוח</t>
        </is>
      </c>
    </row>
    <row r="18" ht="44" customHeight="1">
      <c r="A18" s="11" t="inlineStr">
        <is>
          <t>התקרה אם הריבית גבוהה בנקודת אחוז</t>
        </is>
      </c>
      <c r="B18" s="13">
        <f>IF(B5="","",MIN(PV(('1 הנתונים שלכם'!B17+'הנחות ומקורות'!$B$7)/12,B6,-B5)+MAX(0,B11),B13))</f>
        <v/>
      </c>
      <c r="C18" s="21">
        <f>IF(C5="","",MIN(PV(('1 הנתונים שלכם'!C17+'הנחות ומקורות'!$B$7)/12,C6,-C5)+MAX(0,C11),C13))</f>
        <v/>
      </c>
    </row>
    <row r="19" ht="44" customHeight="1">
      <c r="A19" s="15" t="inlineStr">
        <is>
          <t>המחיר להמחשה</t>
        </is>
      </c>
      <c r="B19" s="17">
        <f>IF(B5="","",IF(B5=0,"אין מקום להחזר. קודם מסדרים את התקציב",IF(B14&lt;=0,"אין עדיין תקרה",IF(FLOOR(B18,10000)=FLOOR(B14,10000),"בערך "&amp;TEXT(FLOOR(B14,10000),"#,##0")&amp;" ₪","בערך "&amp;TEXT(FLOOR(B18,10000),"#,##0")&amp;" עד "&amp;TEXT(FLOOR(B14,10000),"#,##0")&amp;" ₪"))))</f>
        <v/>
      </c>
      <c r="C19" s="28">
        <f>IF(C5="","",IF(C5=0,"אין מקום להחזר. קודם מסדרים את התקציב",IF(C14&lt;=0,"אין עדיין תקרה",IF(FLOOR(C18,10000)=FLOOR(C14,10000),"בערך "&amp;TEXT(FLOOR(C14,10000),"#,##0")&amp;" ₪","בערך "&amp;TEXT(FLOOR(C18,10000),"#,##0")&amp;" עד "&amp;TEXT(FLOOR(C14,10000),"#,##0")&amp;" ₪"))))</f>
        <v/>
      </c>
      <c r="D19" s="14" t="inlineStr">
        <is>
          <t>מעוגל כלפי מטה ל-10,000. טווח = בין הריבית שהכנסתם לריבית גבוהה בנקודת אחוז. מספר אחד = אחוז המימון מגביל, ולכן הריבית לא משנה את התקרה</t>
        </is>
      </c>
    </row>
  </sheetData>
  <sheetProtection selectLockedCells="0" selectUnlockedCells="0" sheet="1" objects="0" insertRows="1" insertHyperlinks="1" autoFilter="1" scenarios="0" formatColumns="0" deleteColumns="1" insertColumns="1" pivotTables="1" deleteRows="1" formatCells="0" formatRows="1" sort="1"/>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19"/>
  <sheetViews>
    <sheetView showGridLines="0" rightToLeft="1" workbookViewId="0">
      <selection activeCell="A1" sqref="A1"/>
    </sheetView>
  </sheetViews>
  <sheetFormatPr baseColWidth="8" defaultRowHeight="15"/>
  <cols>
    <col width="30" customWidth="1" min="1" max="1"/>
    <col width="17" customWidth="1" min="2" max="2"/>
    <col width="17" customWidth="1" min="3" max="3"/>
    <col width="17" customWidth="1" min="4" max="4"/>
    <col width="17" customWidth="1" min="5" max="5"/>
    <col width="34" customWidth="1" min="6" max="6"/>
  </cols>
  <sheetData>
    <row r="1">
      <c r="A1" s="8" t="inlineStr">
        <is>
          <t>4. בדיקת דירה</t>
        </is>
      </c>
    </row>
    <row r="2">
      <c r="A2" s="9" t="inlineStr">
        <is>
          <t>מכניסים מחיר של דירה שראיתם. אפשר עד 3 דירות.</t>
        </is>
      </c>
    </row>
    <row r="4">
      <c r="A4" s="10" t="inlineStr"/>
      <c r="B4" s="10" t="inlineStr">
        <is>
          <t>דירה 1</t>
        </is>
      </c>
      <c r="C4" s="10" t="inlineStr">
        <is>
          <t>דירה 2</t>
        </is>
      </c>
      <c r="D4" s="10" t="inlineStr">
        <is>
          <t>דירה 3</t>
        </is>
      </c>
      <c r="E4" s="10" t="inlineStr">
        <is>
          <t>בדוגמה</t>
        </is>
      </c>
    </row>
    <row r="5" ht="44" customHeight="1">
      <c r="A5" s="11" t="inlineStr">
        <is>
          <t>מחיר הדירה</t>
        </is>
      </c>
      <c r="B5" s="12" t="n"/>
      <c r="C5" s="12" t="n"/>
      <c r="D5" s="12" t="n"/>
      <c r="E5" s="21" t="n">
        <v>1500000</v>
      </c>
    </row>
    <row r="6" ht="44" customHeight="1">
      <c r="A6" s="11" t="inlineStr">
        <is>
          <t>הלוואה נדרשת</t>
        </is>
      </c>
      <c r="B6" s="13">
        <f>IF(OR(B5="",'3 כמה דירה'!B5=""),"",MAX(0,B5-MAX(0,'3 כמה דירה'!B11)))</f>
        <v/>
      </c>
      <c r="C6" s="13">
        <f>IF(OR(C5="",'3 כמה דירה'!B5=""),"",MAX(0,C5-MAX(0,'3 כמה דירה'!B11)))</f>
        <v/>
      </c>
      <c r="D6" s="13">
        <f>IF(OR(D5="",'3 כמה דירה'!B5=""),"",MAX(0,D5-MAX(0,'3 כמה דירה'!B11)))</f>
        <v/>
      </c>
      <c r="E6" s="21">
        <f>IF(OR(E5="",'3 כמה דירה'!C5=""),"",MAX(0,E5-MAX(0,'3 כמה דירה'!C11)))</f>
        <v/>
      </c>
    </row>
    <row r="7" ht="44" customHeight="1">
      <c r="A7" s="11" t="inlineStr">
        <is>
          <t>אחוז מימון</t>
        </is>
      </c>
      <c r="B7" s="29">
        <f>IF(B6="","",B6/B5)</f>
        <v/>
      </c>
      <c r="C7" s="29">
        <f>IF(C6="","",C6/C5)</f>
        <v/>
      </c>
      <c r="D7" s="29">
        <f>IF(D6="","",D6/D5)</f>
        <v/>
      </c>
      <c r="E7" s="26">
        <f>IF(E6="","",E6/E5)</f>
        <v/>
      </c>
    </row>
    <row r="8" ht="44" customHeight="1">
      <c r="A8" s="11" t="inlineStr">
        <is>
          <t>החזר חודשי</t>
        </is>
      </c>
      <c r="B8" s="13">
        <f>IF(B6="","",IF(B6=0,0,IF('1 הנתונים שלכם'!B17=0,B6/'3 כמה דירה'!B6,PMT('1 הנתונים שלכם'!B17/12,'3 כמה דירה'!B6,-B6))))</f>
        <v/>
      </c>
      <c r="C8" s="13">
        <f>IF(C6="","",IF(C6=0,0,IF('1 הנתונים שלכם'!B17=0,C6/'3 כמה דירה'!B6,PMT('1 הנתונים שלכם'!B17/12,'3 כמה דירה'!B6,-C6))))</f>
        <v/>
      </c>
      <c r="D8" s="13">
        <f>IF(D6="","",IF(D6=0,0,IF('1 הנתונים שלכם'!B17=0,D6/'3 כמה דירה'!B6,PMT('1 הנתונים שלכם'!B17/12,'3 כמה דירה'!B6,-D6))))</f>
        <v/>
      </c>
      <c r="E8" s="21">
        <f>IF(E6="","",IF(E6=0,0,IF('1 הנתונים שלכם'!C17=0,E6/'3 כמה דירה'!C6,PMT('1 הנתונים שלכם'!C17/12,'3 כמה דירה'!C6,-E6))))</f>
        <v/>
      </c>
    </row>
    <row r="9" ht="44" customHeight="1">
      <c r="A9" s="11" t="inlineStr">
        <is>
          <t>נשאר בסוף חודש אחרי הקנייה</t>
        </is>
      </c>
      <c r="B9" s="13">
        <f>IF(B6="","",'2 ההחזר הנוח'!B5-'2 ההחזר הנוח'!B6-'2 ההחזר הנוח'!B7-B8)</f>
        <v/>
      </c>
      <c r="C9" s="13">
        <f>IF(C6="","",'2 ההחזר הנוח'!B5-'2 ההחזר הנוח'!B6-'2 ההחזר הנוח'!B7-C8)</f>
        <v/>
      </c>
      <c r="D9" s="13">
        <f>IF(D6="","",'2 ההחזר הנוח'!B5-'2 ההחזר הנוח'!B6-'2 ההחזר הנוח'!B7-D8)</f>
        <v/>
      </c>
      <c r="E9" s="21">
        <f>IF(E6="","",'2 ההחזר הנוח'!C5-'2 ההחזר הנוח'!C6-'2 ההחזר הנוח'!C7-E8)</f>
        <v/>
      </c>
      <c r="F9" s="14" t="inlineStr">
        <is>
          <t>נשאר אחרי הקנייה, בהשוואה להיום (★1). ההחזר נכנס במקום שכר הדירה</t>
        </is>
      </c>
    </row>
    <row r="10" ht="44" customHeight="1">
      <c r="A10" s="15" t="inlineStr">
        <is>
          <t>★1 נשאר בסוף חודש, היום</t>
        </is>
      </c>
      <c r="B10" s="13">
        <f>IF(B6="","",'2 ההחזר הנוח'!B9)</f>
        <v/>
      </c>
      <c r="C10" s="13">
        <f>IF(C6="","",'2 ההחזר הנוח'!B9)</f>
        <v/>
      </c>
      <c r="D10" s="13">
        <f>IF(D6="","",'2 ההחזר הנוח'!B9)</f>
        <v/>
      </c>
      <c r="E10" s="21">
        <f>IF(E6="","",'2 ההחזר הנוח'!C9)</f>
        <v/>
      </c>
    </row>
    <row r="11" ht="44" customHeight="1">
      <c r="A11" s="15" t="inlineStr">
        <is>
          <t>★3 בחודש הרע, אחרי הקנייה</t>
        </is>
      </c>
      <c r="B11" s="13">
        <f>IF(B6="","",'2 ההחזר הנוח'!B5*(1-'הנחות ומקורות'!$B$5)-'2 ההחזר הנוח'!B6-'2 ההחזר הנוח'!B7-B8)</f>
        <v/>
      </c>
      <c r="C11" s="13">
        <f>IF(C6="","",'2 ההחזר הנוח'!B5*(1-'הנחות ומקורות'!$B$5)-'2 ההחזר הנוח'!B6-'2 ההחזר הנוח'!B7-C8)</f>
        <v/>
      </c>
      <c r="D11" s="13">
        <f>IF(D6="","",'2 ההחזר הנוח'!B5*(1-'הנחות ומקורות'!$B$5)-'2 ההחזר הנוח'!B6-'2 ההחזר הנוח'!B7-D8)</f>
        <v/>
      </c>
      <c r="E11" s="21">
        <f>IF(E6="","",'2 ההחזר הנוח'!C5*(1-'הנחות ומקורות'!$B$5)-'2 ההחזר הנוח'!C6-'2 ההחזר הנוח'!C7-E8)</f>
        <v/>
      </c>
    </row>
    <row r="12" ht="44" customHeight="1">
      <c r="A12" s="15" t="inlineStr">
        <is>
          <t>התוצאה</t>
        </is>
      </c>
      <c r="B12" s="17">
        <f>IF(B6="","",IF('3 כמה דירה'!B11&lt;0,"קודם להשלים כרית ועלויות",IF(AND(B7&gt;'1 הנתונים שלכם'!B19+0.00001,B8&gt;'2 ההחזר הנוח'!B11+0.5),"מעל אחוז המימון ומעל ההחזר הנוח",IF(B7&gt;'1 הנתונים שלכם'!B19+0.00001,"מעל אחוז המימון",IF(B8&gt;'2 ההחזר הנוח'!B11+0.5,"מעל ההחזר הנוח","בתוך הגבולות"))))&amp;IF(AND('3 כמה דירה'!B11&gt;=0,B11&lt;0),". בחודש רע: מינוס",""))</f>
        <v/>
      </c>
      <c r="C12" s="17">
        <f>IF(C6="","",IF('3 כמה דירה'!B11&lt;0,"קודם להשלים כרית ועלויות",IF(AND(C7&gt;'1 הנתונים שלכם'!B19+0.00001,C8&gt;'2 ההחזר הנוח'!B11+0.5),"מעל אחוז המימון ומעל ההחזר הנוח",IF(C7&gt;'1 הנתונים שלכם'!B19+0.00001,"מעל אחוז המימון",IF(C8&gt;'2 ההחזר הנוח'!B11+0.5,"מעל ההחזר הנוח","בתוך הגבולות"))))&amp;IF(AND('3 כמה דירה'!B11&gt;=0,C11&lt;0),". בחודש רע: מינוס",""))</f>
        <v/>
      </c>
      <c r="D12" s="17">
        <f>IF(D6="","",IF('3 כמה דירה'!B11&lt;0,"קודם להשלים כרית ועלויות",IF(AND(D7&gt;'1 הנתונים שלכם'!B19+0.00001,D8&gt;'2 ההחזר הנוח'!B11+0.5),"מעל אחוז המימון ומעל ההחזר הנוח",IF(D7&gt;'1 הנתונים שלכם'!B19+0.00001,"מעל אחוז המימון",IF(D8&gt;'2 ההחזר הנוח'!B11+0.5,"מעל ההחזר הנוח","בתוך הגבולות"))))&amp;IF(AND('3 כמה דירה'!B11&gt;=0,D11&lt;0),". בחודש רע: מינוס",""))</f>
        <v/>
      </c>
      <c r="E12" s="28">
        <f>IF(E6="","",IF('3 כמה דירה'!C11&lt;0,"קודם להשלים כרית ועלויות",IF(AND(E7&gt;'1 הנתונים שלכם'!C19+0.00001,E8&gt;'2 ההחזר הנוח'!C11+0.5),"מעל אחוז המימון ומעל ההחזר הנוח",IF(E7&gt;'1 הנתונים שלכם'!C19+0.00001,"מעל אחוז המימון",IF(E8&gt;'2 ההחזר הנוח'!C11+0.5,"מעל ההחזר הנוח","בתוך הגבולות"))))&amp;IF(AND('3 כמה דירה'!C11&gt;=0,E11&lt;0),". בחודש רע: מינוס",""))</f>
        <v/>
      </c>
    </row>
    <row r="13" ht="44" customHeight="1"/>
    <row r="14" ht="44" customHeight="1"/>
    <row r="15" ht="44" customHeight="1"/>
    <row r="16" ht="44" customHeight="1"/>
    <row r="17" ht="44" customHeight="1"/>
    <row r="18" ht="44" customHeight="1"/>
    <row r="19" ht="44" customHeight="1"/>
  </sheetData>
  <sheetProtection selectLockedCells="0" selectUnlockedCells="0" sheet="1" objects="0" insertRows="1" insertHyperlinks="1" autoFilter="1" scenarios="0" formatColumns="0" deleteColumns="1" insertColumns="1" pivotTables="1" deleteRows="1" formatCells="0" formatRows="1" sort="1"/>
  <dataValidations count="1">
    <dataValidation sqref="B5:D5" showDropDown="0" showInputMessage="0" showErrorMessage="1" allowBlank="0" error="מחיר חיובי" type="decimal" operator="greaterThan">
      <formula1>0</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19"/>
  <sheetViews>
    <sheetView showGridLines="0" rightToLeft="1"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c r="A1" s="8" t="inlineStr">
        <is>
          <t>5. סגירת חודש</t>
        </is>
      </c>
    </row>
    <row r="2">
      <c r="A2" s="9" t="inlineStr">
        <is>
          <t>3 חודשים ברצף לפני משכנתא. תכננו / קרה / פער. מהחודש השני - 15 דקות.</t>
        </is>
      </c>
    </row>
    <row r="4">
      <c r="B4" s="32" t="inlineStr">
        <is>
          <t>חודש 1</t>
        </is>
      </c>
      <c r="E4" s="32" t="inlineStr">
        <is>
          <t>חודש 2</t>
        </is>
      </c>
      <c r="H4" s="32" t="inlineStr">
        <is>
          <t>חודש 3</t>
        </is>
      </c>
    </row>
    <row r="5">
      <c r="B5" s="33" t="inlineStr">
        <is>
          <t>תכננו</t>
        </is>
      </c>
      <c r="C5" s="33" t="inlineStr">
        <is>
          <t>קרה</t>
        </is>
      </c>
      <c r="D5" s="33" t="inlineStr">
        <is>
          <t>פער</t>
        </is>
      </c>
      <c r="E5" s="33" t="inlineStr">
        <is>
          <t>תכננו</t>
        </is>
      </c>
      <c r="F5" s="33" t="inlineStr">
        <is>
          <t>קרה</t>
        </is>
      </c>
      <c r="G5" s="33" t="inlineStr">
        <is>
          <t>פער</t>
        </is>
      </c>
      <c r="H5" s="33" t="inlineStr">
        <is>
          <t>תכננו</t>
        </is>
      </c>
      <c r="I5" s="33" t="inlineStr">
        <is>
          <t>קרה</t>
        </is>
      </c>
      <c r="J5" s="33" t="inlineStr">
        <is>
          <t>פער</t>
        </is>
      </c>
    </row>
    <row r="6">
      <c r="A6" s="11" t="inlineStr">
        <is>
          <t>הכנסות</t>
        </is>
      </c>
      <c r="B6" s="12" t="n"/>
      <c r="C6" s="12" t="n"/>
      <c r="D6" s="13">
        <f>IF(OR(B6="",C6=""),"",C6-B6)</f>
        <v/>
      </c>
      <c r="E6" s="12" t="n"/>
      <c r="F6" s="12" t="n"/>
      <c r="G6" s="13">
        <f>IF(OR(E6="",F6=""),"",F6-E6)</f>
        <v/>
      </c>
      <c r="H6" s="12" t="n"/>
      <c r="I6" s="12" t="n"/>
      <c r="J6" s="13">
        <f>IF(OR(H6="",I6=""),"",I6-H6)</f>
        <v/>
      </c>
    </row>
    <row r="7">
      <c r="A7" s="11" t="inlineStr">
        <is>
          <t>הוצאות</t>
        </is>
      </c>
      <c r="B7" s="12" t="n"/>
      <c r="C7" s="12" t="n"/>
      <c r="D7" s="13">
        <f>IF(OR(B7="",C7=""),"",C7-B7)</f>
        <v/>
      </c>
      <c r="E7" s="12" t="n"/>
      <c r="F7" s="12" t="n"/>
      <c r="G7" s="13">
        <f>IF(OR(E7="",F7=""),"",F7-E7)</f>
        <v/>
      </c>
      <c r="H7" s="12" t="n"/>
      <c r="I7" s="12" t="n"/>
      <c r="J7" s="13">
        <f>IF(OR(H7="",I7=""),"",I7-H7)</f>
        <v/>
      </c>
    </row>
    <row r="8">
      <c r="A8" s="15" t="inlineStr">
        <is>
          <t>★1 נשאר בסוף חודש</t>
        </is>
      </c>
      <c r="B8" s="16">
        <f>IF(COUNT(B6:B7)&lt;2,"",B6-B7)</f>
        <v/>
      </c>
      <c r="C8" s="16">
        <f>IF(COUNT(C6:C7)&lt;2,"",C6-C7)</f>
        <v/>
      </c>
      <c r="D8" s="13">
        <f>IF(OR(B8="",C8=""),"",C8-B8)</f>
        <v/>
      </c>
      <c r="E8" s="16">
        <f>IF(COUNT(E6:E7)&lt;2,"",E6-E7)</f>
        <v/>
      </c>
      <c r="F8" s="16">
        <f>IF(COUNT(F6:F7)&lt;2,"",F6-F7)</f>
        <v/>
      </c>
      <c r="G8" s="13">
        <f>IF(OR(E8="",F8=""),"",F8-E8)</f>
        <v/>
      </c>
      <c r="H8" s="16">
        <f>IF(COUNT(H6:H7)&lt;2,"",H6-H7)</f>
        <v/>
      </c>
      <c r="I8" s="16">
        <f>IF(COUNT(I6:I7)&lt;2,"",I6-I7)</f>
        <v/>
      </c>
      <c r="J8" s="13">
        <f>IF(OR(H8="",I8=""),"",I8-H8)</f>
        <v/>
      </c>
    </row>
    <row r="9"/>
    <row r="10"/>
    <row r="11">
      <c r="A11" s="20" t="inlineStr">
        <is>
          <t>פער גדול בהוצאות? זה המקום לבדוק לפני משכנתא, לא אחרי.</t>
        </is>
      </c>
    </row>
    <row r="12">
      <c r="A12" s="20" t="inlineStr"/>
    </row>
    <row r="13">
      <c r="A13" s="20" t="inlineStr">
        <is>
          <t>מה הלאה, לפני שהולכים לבנק:</t>
        </is>
      </c>
    </row>
    <row r="14">
      <c r="A14" s="20" t="inlineStr">
        <is>
          <t>☐ הזמנתם דוח נתוני אשראי. אפשר פעם בשנה בחינם (פרטים בלשונית ההנחות)</t>
        </is>
      </c>
    </row>
    <row r="15">
      <c r="A15" s="20" t="inlineStr">
        <is>
          <t>☐ 3 חודשים אחרונים בלי מינוס ובלי החזרות תשלום</t>
        </is>
      </c>
    </row>
    <row r="16">
      <c r="A16" s="20" t="inlineStr">
        <is>
          <t>☐ רשימה של כל ההלוואות והתשלומים הפתוחים</t>
        </is>
      </c>
    </row>
    <row r="17">
      <c r="A17" s="20" t="inlineStr">
        <is>
          <t>☐ דיברתם: התוכניות ל-5 השנים הבאות, איך מתחלק ההחזר בינכם, והסכום שמעליו לא חותמים</t>
        </is>
      </c>
    </row>
    <row r="18"/>
    <row r="19"/>
  </sheetData>
  <sheetProtection selectLockedCells="0" selectUnlockedCells="0" sheet="1" objects="0" insertRows="1" insertHyperlinks="1" autoFilter="1" scenarios="0" formatColumns="0" deleteColumns="1" insertColumns="1" pivotTables="1" deleteRows="1" formatCells="0" formatRows="1" sort="1"/>
  <mergeCells count="10">
    <mergeCell ref="A14:J14"/>
    <mergeCell ref="A17:J17"/>
    <mergeCell ref="B4:D4"/>
    <mergeCell ref="H4:J4"/>
    <mergeCell ref="A12:J12"/>
    <mergeCell ref="A15:J15"/>
    <mergeCell ref="E4:G4"/>
    <mergeCell ref="A16:J16"/>
    <mergeCell ref="A13:J13"/>
    <mergeCell ref="A11:J11"/>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C19"/>
  <sheetViews>
    <sheetView showGridLines="0" rightToLeft="1" workbookViewId="0">
      <selection activeCell="A1" sqref="A1"/>
    </sheetView>
  </sheetViews>
  <sheetFormatPr baseColWidth="8" defaultRowHeight="15"/>
  <cols>
    <col width="34" customWidth="1" min="1" max="1"/>
    <col width="12" customWidth="1" min="2" max="2"/>
    <col width="44" customWidth="1" min="3" max="3"/>
  </cols>
  <sheetData>
    <row r="1">
      <c r="A1" s="8" t="inlineStr">
        <is>
          <t>הנחות ומקורות</t>
        </is>
      </c>
    </row>
    <row r="2">
      <c r="A2" s="9" t="inlineStr">
        <is>
          <t>נכון ל-27.10.2026. בדקו עדכניות לפני שמסתמכים. מותר לשנות את הערכים בצהוב.</t>
        </is>
      </c>
    </row>
    <row r="4">
      <c r="A4" s="10" t="inlineStr">
        <is>
          <t>הנחה</t>
        </is>
      </c>
      <c r="B4" s="10" t="inlineStr">
        <is>
          <t>ערך</t>
        </is>
      </c>
      <c r="C4" s="10" t="inlineStr">
        <is>
          <t>מקור / הסבר</t>
        </is>
      </c>
    </row>
    <row r="5">
      <c r="A5" s="11" t="inlineStr">
        <is>
          <t>ירידת הכנסה במבחן החודש הרע</t>
        </is>
      </c>
      <c r="B5" s="25" t="n">
        <v>0.2</v>
      </c>
      <c r="C5" s="14" t="inlineStr">
        <is>
          <t>בונוס שלא הגיע, ירידה בשעות, חופשה ללא תשלום. הנחה לבדיקת עמידות, לא תחזית</t>
        </is>
      </c>
    </row>
    <row r="6">
      <c r="A6" s="11" t="inlineStr">
        <is>
          <t>מרווח לעלייה בהחזר</t>
        </is>
      </c>
      <c r="B6" s="25" t="n">
        <v>0.15</v>
      </c>
      <c r="C6" s="14" t="inlineStr">
        <is>
          <t>משכנתא אמיתית כוללת מסלולים משתנים וצמודים, וההחזר בהם יכול לעלות. הנחה, לא תחזית</t>
        </is>
      </c>
    </row>
    <row r="7">
      <c r="A7" s="11" t="inlineStr">
        <is>
          <t>תוספת ריבית לבדיקת טווח</t>
        </is>
      </c>
      <c r="B7" s="25" t="n">
        <v>0.01</v>
      </c>
      <c r="C7" s="14" t="inlineStr">
        <is>
          <t>כמה התקרה זזה אם הריבית גבוהה בנקודת אחוז אחת</t>
        </is>
      </c>
    </row>
    <row r="8"/>
    <row r="9">
      <c r="A9" s="20" t="inlineStr">
        <is>
          <t>מה הבנק מגביל (הוראת ניהול בנקאי תקין 329, בנק ישראל, גרסה מ-30.6.2026):</t>
        </is>
      </c>
    </row>
    <row r="10">
      <c r="A10" s="20" t="inlineStr">
        <is>
          <t>• אחוז מימון מרבי: דירה יחידה 75%, דירה חליפית (משפרי דיור) 70%, דירה להשקעה 50%.</t>
        </is>
      </c>
    </row>
    <row r="11">
      <c r="A11" s="20" t="inlineStr">
        <is>
          <t>• יחס החזר להכנסה: עד 50% מההכנסה הפנויה כפי שהבנק מחשב אותה. זו תקרה של הבנק, לא יעד נוח.</t>
        </is>
      </c>
    </row>
    <row r="12">
      <c r="A12" s="20" t="inlineStr">
        <is>
          <t>• תקופה מרבית: 30 שנה. ריבית משתנה: עד כשני שלישים מההלוואה.</t>
        </is>
      </c>
    </row>
    <row r="13">
      <c r="A13" s="20" t="inlineStr">
        <is>
          <t>מקור: https://www.boi.org.il/media/ez4npagt/329.pdf</t>
        </is>
      </c>
    </row>
    <row r="14">
      <c r="A14" s="20" t="inlineStr"/>
    </row>
    <row r="15">
      <c r="A15" s="20" t="inlineStr">
        <is>
          <t>דוח נתוני אשראי: אפשר לקבל פעם בשנה דוח בחינם (חוק נתוני אשראי, סעיף 38(ד)). פרטים: https://www.creditdata.org.il</t>
        </is>
      </c>
    </row>
    <row r="16">
      <c r="A16" s="20" t="inlineStr"/>
    </row>
    <row r="17">
      <c r="A17" s="20" t="inlineStr">
        <is>
          <t>מס רכישה: המחשבון לא מחשב אותו. מכניסים את הסכום בלשונית 1, לפי המחשבון הרשמי של רשות המסים: https://www.misim.gov.il/svsimurechisha/FrmFirstPage.aspx</t>
        </is>
      </c>
    </row>
    <row r="18">
      <c r="A18" s="20" t="inlineStr"/>
    </row>
    <row r="19">
      <c r="A19" s="20" t="inlineStr">
        <is>
          <t>מה המחשבון לא יודע: ריבית אחת לכל ההלוואה (בפועל - כמה מסלולים), בלי הצמדה למדד, בלי שינויי ריבית לאורך השנים, ובלי שיקולי הבנק (דירוג אשראי, יציבות הכנסה, גיל).</t>
        </is>
      </c>
    </row>
  </sheetData>
  <sheetProtection selectLockedCells="0" selectUnlockedCells="0" sheet="1" objects="0" insertRows="1" insertHyperlinks="1" autoFilter="1" scenarios="0" formatColumns="0" deleteColumns="1" insertColumns="1" pivotTables="1" deleteRows="1" formatCells="0" formatRows="1" sort="1"/>
  <mergeCells count="11">
    <mergeCell ref="A10:C10"/>
    <mergeCell ref="A13:C13"/>
    <mergeCell ref="A11:C11"/>
    <mergeCell ref="A19:C19"/>
    <mergeCell ref="A14:C14"/>
    <mergeCell ref="A17:C17"/>
    <mergeCell ref="A9:C9"/>
    <mergeCell ref="A18:C18"/>
    <mergeCell ref="A12:C12"/>
    <mergeCell ref="A16:C16"/>
    <mergeCell ref="A15:C1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2026-10-29T22:12:04Z</dcterms:created>
  <dcterms:modified xmlns:dcterms="http://purl.org/dc/terms/" xmlns:xsi="http://www.w3.org/2001/XMLSchema-instance" xsi:type="dcterms:W3CDTF">2026-10-29T22:12:04Z</dcterms:modified>
</cp:coreProperties>
</file>